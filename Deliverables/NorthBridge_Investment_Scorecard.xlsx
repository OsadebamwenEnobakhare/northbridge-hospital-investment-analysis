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stment Scorecard" sheetId="1" state="visible" r:id="rId3"/>
    <sheet name="Financial Metrics" sheetId="2" state="visible" r:id="rId4"/>
    <sheet name="Clinical Metrics" sheetId="3" state="visible" r:id="rId5"/>
    <sheet name="Data Quality Not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<sst xmlns="http://schemas.openxmlformats.org/spreadsheetml/2006/main" count="265" uniqueCount="247">
  <si>
    <t xml:space="preserve">NORTHBRIDGE HEALTH INVESTMENT FUND — HOSPITAL INVESTMENT SCORECARD</t>
  </si>
  <si>
    <t xml:space="preserve">Independent Analysis · Jan 2022 – Dec 2023 · 10,900 Encounters · 3 Candidate Hospitals</t>
  </si>
  <si>
    <t xml:space="preserve">Criterion</t>
  </si>
  <si>
    <t xml:space="preserve">Weight</t>
  </si>
  <si>
    <t xml:space="preserve">ECH — Eastpoint</t>
  </si>
  <si>
    <t xml:space="preserve">GGH — Greenfield ★ RECOMMENDED</t>
  </si>
  <si>
    <t xml:space="preserve">RMC — Riverside</t>
  </si>
  <si>
    <t xml:space="preserve">Score (1-10)</t>
  </si>
  <si>
    <t xml:space="preserve">Weighted</t>
  </si>
  <si>
    <t xml:space="preserve">  CLINICAL QUALITY  —  Category Weight: 35%</t>
  </si>
  <si>
    <t xml:space="preserve">   Readmission Rate</t>
  </si>
  <si>
    <t xml:space="preserve">   Complication Rate</t>
  </si>
  <si>
    <t xml:space="preserve">   Hospital-Acquired Infection (HAI) Rate</t>
  </si>
  <si>
    <t xml:space="preserve">  OPERATIONAL EFFICIENCY  —  Category Weight: 20%</t>
  </si>
  <si>
    <t xml:space="preserve">   Average Length of Stay (LOS)</t>
  </si>
  <si>
    <t xml:space="preserve">   Average ED Wait Time</t>
  </si>
  <si>
    <t xml:space="preserve">  PATIENT SATISFACTION  —  Category Weight: 10%</t>
  </si>
  <si>
    <t xml:space="preserve">   Patient Satisfaction Score (0–10)</t>
  </si>
  <si>
    <t xml:space="preserve">  FINANCIAL SUSTAINABILITY  —  Category Weight: 20%</t>
  </si>
  <si>
    <t xml:space="preserve">   Collection Rate (Paid/Billed)</t>
  </si>
  <si>
    <t xml:space="preserve">   Revenue per Encounter</t>
  </si>
  <si>
    <t xml:space="preserve">  REVENUE CYCLE MANAGEMENT  —  Category Weight: 10%</t>
  </si>
  <si>
    <t xml:space="preserve">   Claim Denial Rate</t>
  </si>
  <si>
    <t xml:space="preserve">   Year-over-Year Denial Rate Trend</t>
  </si>
  <si>
    <t xml:space="preserve">  GROWTH POTENTIAL  —  Category Weight: 5%</t>
  </si>
  <si>
    <t xml:space="preserve">   Bed Capacity &amp; Hospital Type</t>
  </si>
  <si>
    <t xml:space="preserve">   Financial Improvement Trend</t>
  </si>
  <si>
    <t xml:space="preserve">WEIGHTED TOTAL SCORE (out of 10)</t>
  </si>
  <si>
    <t xml:space="preserve">100%</t>
  </si>
  <si>
    <t xml:space="preserve">RANKING</t>
  </si>
  <si>
    <t xml:space="preserve">2  2nd Place</t>
  </si>
  <si>
    <t xml:space="preserve">1  1st Place ★</t>
  </si>
  <si>
    <t xml:space="preserve">3  3rd Place</t>
  </si>
  <si>
    <t xml:space="preserve">INVESTMENT RECOMMENDATION</t>
  </si>
  <si>
    <t xml:space="preserve">NorthBridge should invest in Greenfield General Hospital (GGH). GGH scores highest (6.36/10) when clinical quality (35%), operational efficiency (20%), and patient satisfaction (10%) are appropriately weighted — reflecting what a healthcare investment fund should prioritise. GGH delivers the best patient care on every measurable metric: lowest readmissions (9.4%), fewest complications (10.9%), lowest HAI (3.6%), fastest ED response (33.5 min), and highest satisfaction (7.68/10). Its financial weakness traces entirely to fixable billing process failures — not structural weakness. Capital invested in revenue cycle management could unlock an estimated $2–3M in additional annual revenue.</t>
  </si>
  <si>
    <t xml:space="preserve">RISK REGISTER — WHY THE OTHER HOSPITALS WERE NOT SELECTED</t>
  </si>
  <si>
    <t xml:space="preserve">ECH — Not Selected:  ECH scores 5.93/10. Its improving financial trend is positive (denial rate fell from 31.8% → 25.6% in one year), but its 190-bed capacity significantly limits the scale of return on investment. Even with capital injection, the growth ceiling is constrained by physical infrastructure. Risk: low upside relative to investment size.</t>
  </si>
  <si>
    <t xml:space="preserve">RMC — Not Selected:  RMC scores 4.35/10. Despite the strongest financial performance ($6.6M collected, 14.6% denial rate), its clinical outcomes are the worst across all metrics: 19.7% readmission, 17.8% complication, 5.6% HAI, 5.53/10 satisfaction. Severity distributions are identical across hospitals, confirming this reflects genuine care quality gaps. Risk: reputational and regulatory exposure from poor patient outcomes.</t>
  </si>
  <si>
    <t xml:space="preserve">SCORING METHODOLOGY &amp; WEIGHT RATIONALE</t>
  </si>
  <si>
    <t xml:space="preserve">Clinical Quality (35%)</t>
  </si>
  <si>
    <t xml:space="preserve">Highest weight because healthcare investors must prioritise patient outcomes. Regulatory risk, reputational damage, and care quality directly affect long-term asset value.</t>
  </si>
  <si>
    <t xml:space="preserve">Operational Efficiency (20%)</t>
  </si>
  <si>
    <t xml:space="preserve">Reflects the hospital's ability to manage throughput, resources, and costs efficiently. LOS and ED wait time are proven indicators of operational maturity.</t>
  </si>
  <si>
    <t xml:space="preserve">Financial Sustainability (20%)</t>
  </si>
  <si>
    <t xml:space="preserve">Revenue collection capability is critical for self-sustaining operations. Collection rate and revenue per encounter indicate financial health.</t>
  </si>
  <si>
    <t xml:space="preserve">Patient Satisfaction (10%)</t>
  </si>
  <si>
    <t xml:space="preserve">Directly correlated with patient retention, reputation, and regulatory compliance. Consistently low scores indicate systemic service delivery problems.</t>
  </si>
  <si>
    <t xml:space="preserve">Revenue Cycle Management (10%)</t>
  </si>
  <si>
    <t xml:space="preserve">Denial rate and trend indicate billing process maturity. High denial rates that are worsening signal operational risk requiring immediate intervention.</t>
  </si>
  <si>
    <t xml:space="preserve">Growth Potential (5%)</t>
  </si>
  <si>
    <t xml:space="preserve">Bed capacity and financial trajectory indicate ability to scale. Lower weight because current performance matters more than theoretical upside.</t>
  </si>
  <si>
    <t xml:space="preserve">FINANCIAL PERFORMANCE DATA — Supporting Evidence</t>
  </si>
  <si>
    <t xml:space="preserve">All figures derived from combined_hospitals_clean.csv · Jan 2022 – Dec 2023</t>
  </si>
  <si>
    <t xml:space="preserve">Metric</t>
  </si>
  <si>
    <t xml:space="preserve">ECH</t>
  </si>
  <si>
    <t xml:space="preserve">GGH ★</t>
  </si>
  <si>
    <t xml:space="preserve">RMC</t>
  </si>
  <si>
    <t xml:space="preserve">Total Billed (24 months)</t>
  </si>
  <si>
    <t xml:space="preserve">$8,997,731</t>
  </si>
  <si>
    <t xml:space="preserve">$7,974,405</t>
  </si>
  <si>
    <t xml:space="preserve">$11,637,637</t>
  </si>
  <si>
    <t xml:space="preserve">Total Collected (24 months)</t>
  </si>
  <si>
    <t xml:space="preserve">$4,072,177</t>
  </si>
  <si>
    <t xml:space="preserve">$2,320,163</t>
  </si>
  <si>
    <t xml:space="preserve">$6,625,435</t>
  </si>
  <si>
    <t xml:space="preserve">Total Written-off / Denied</t>
  </si>
  <si>
    <t xml:space="preserve">$4,925,554</t>
  </si>
  <si>
    <t xml:space="preserve">$5,654,242</t>
  </si>
  <si>
    <t xml:space="preserve">$5,012,202</t>
  </si>
  <si>
    <t xml:space="preserve">Collection Rate</t>
  </si>
  <si>
    <t xml:space="preserve">45.3%</t>
  </si>
  <si>
    <t xml:space="preserve">29.1%</t>
  </si>
  <si>
    <t xml:space="preserve">56.9%</t>
  </si>
  <si>
    <t xml:space="preserve">Claim Denial Rate</t>
  </si>
  <si>
    <t xml:space="preserve">28.8%</t>
  </si>
  <si>
    <t xml:space="preserve">50.6%</t>
  </si>
  <si>
    <t xml:space="preserve">14.6%</t>
  </si>
  <si>
    <t xml:space="preserve">Total Claim Denials (count)</t>
  </si>
  <si>
    <t xml:space="preserve">1,007</t>
  </si>
  <si>
    <t xml:space="preserve">1,821</t>
  </si>
  <si>
    <t xml:space="preserve">553</t>
  </si>
  <si>
    <t xml:space="preserve">Revenue per Encounter</t>
  </si>
  <si>
    <t xml:space="preserve">$1,163</t>
  </si>
  <si>
    <t xml:space="preserve">$644</t>
  </si>
  <si>
    <t xml:space="preserve">$1,744</t>
  </si>
  <si>
    <t xml:space="preserve">Avg Claim Processing Days</t>
  </si>
  <si>
    <t xml:space="preserve">28.9 days</t>
  </si>
  <si>
    <t xml:space="preserve">28.5 days</t>
  </si>
  <si>
    <t xml:space="preserve">29.5 days</t>
  </si>
  <si>
    <t xml:space="preserve">YEAR-OVER-YEAR TRENDS</t>
  </si>
  <si>
    <t xml:space="preserve">Denial Rate 2022</t>
  </si>
  <si>
    <t xml:space="preserve">31.8%</t>
  </si>
  <si>
    <t xml:space="preserve">48.0%</t>
  </si>
  <si>
    <t xml:space="preserve">14.2%</t>
  </si>
  <si>
    <t xml:space="preserve">Denial Rate 2023</t>
  </si>
  <si>
    <t xml:space="preserve">25.6%</t>
  </si>
  <si>
    <t xml:space="preserve">53.3%</t>
  </si>
  <si>
    <t xml:space="preserve">14.9%</t>
  </si>
  <si>
    <t xml:space="preserve">YoY Denial Rate Change</t>
  </si>
  <si>
    <t xml:space="preserve">↓ -6.2pp</t>
  </si>
  <si>
    <t xml:space="preserve">↑ +5.3pp</t>
  </si>
  <si>
    <t xml:space="preserve">→ +0.7pp</t>
  </si>
  <si>
    <t xml:space="preserve">Collection Rate 2022</t>
  </si>
  <si>
    <t xml:space="preserve">43.2%</t>
  </si>
  <si>
    <t xml:space="preserve">31.1%</t>
  </si>
  <si>
    <t xml:space="preserve">57.4%</t>
  </si>
  <si>
    <t xml:space="preserve">Collection Rate 2023</t>
  </si>
  <si>
    <t xml:space="preserve">47.5%</t>
  </si>
  <si>
    <t xml:space="preserve">26.9%</t>
  </si>
  <si>
    <t xml:space="preserve">56.5%</t>
  </si>
  <si>
    <t xml:space="preserve">YoY Collection Rate Change</t>
  </si>
  <si>
    <t xml:space="preserve">↑ +4.3pp</t>
  </si>
  <si>
    <t xml:space="preserve">↓ -4.2pp</t>
  </si>
  <si>
    <t xml:space="preserve">→ -0.9pp</t>
  </si>
  <si>
    <t xml:space="preserve">TOP DENIAL REASONS</t>
  </si>
  <si>
    <t xml:space="preserve">#1 Denial Reason</t>
  </si>
  <si>
    <t xml:space="preserve">Patient Eligibility (163)</t>
  </si>
  <si>
    <t xml:space="preserve">Timely Filing (270)</t>
  </si>
  <si>
    <t xml:space="preserve">Patient Eligibility (92)</t>
  </si>
  <si>
    <t xml:space="preserve">#2 Denial Reason</t>
  </si>
  <si>
    <t xml:space="preserve">Coding Error (155)</t>
  </si>
  <si>
    <t xml:space="preserve">Coding Error (269)</t>
  </si>
  <si>
    <t xml:space="preserve">Timely Filing (88)</t>
  </si>
  <si>
    <t xml:space="preserve">#3 Denial Reason</t>
  </si>
  <si>
    <t xml:space="preserve">Pre-auth (151)</t>
  </si>
  <si>
    <t xml:space="preserve">Pre-auth (269)</t>
  </si>
  <si>
    <t xml:space="preserve">Incomplete Docs (86)</t>
  </si>
  <si>
    <t xml:space="preserve">#4 Denial Reason</t>
  </si>
  <si>
    <t xml:space="preserve">Timely Filing (142)</t>
  </si>
  <si>
    <t xml:space="preserve">Med. Necessity (262)</t>
  </si>
  <si>
    <t xml:space="preserve">Duplicate (79)</t>
  </si>
  <si>
    <t xml:space="preserve">#5 Denial Reason</t>
  </si>
  <si>
    <t xml:space="preserve">Duplicate (134)</t>
  </si>
  <si>
    <t xml:space="preserve">Duplicate (256)</t>
  </si>
  <si>
    <t xml:space="preserve">Pre-auth (75)</t>
  </si>
  <si>
    <t xml:space="preserve">CLINICAL QUALITY DATA — Supporting Evidence</t>
  </si>
  <si>
    <t xml:space="preserve">OUTCOME METRICS</t>
  </si>
  <si>
    <t xml:space="preserve">Readmission Rate</t>
  </si>
  <si>
    <t xml:space="preserve">14.1%</t>
  </si>
  <si>
    <t xml:space="preserve">9.4%</t>
  </si>
  <si>
    <t xml:space="preserve">19.7%</t>
  </si>
  <si>
    <t xml:space="preserve">Complication Rate</t>
  </si>
  <si>
    <t xml:space="preserve">12.6%</t>
  </si>
  <si>
    <t xml:space="preserve">10.9%</t>
  </si>
  <si>
    <t xml:space="preserve">17.8%</t>
  </si>
  <si>
    <t xml:space="preserve">Hospital-Acquired Infection (HAI) Rate</t>
  </si>
  <si>
    <t xml:space="preserve">4.3%</t>
  </si>
  <si>
    <t xml:space="preserve">3.6%</t>
  </si>
  <si>
    <t xml:space="preserve">5.6%</t>
  </si>
  <si>
    <t xml:space="preserve">Expired / Mortality Rate*</t>
  </si>
  <si>
    <t xml:space="preserve">4.4%</t>
  </si>
  <si>
    <t xml:space="preserve">2.6%**</t>
  </si>
  <si>
    <t xml:space="preserve">6.2%**</t>
  </si>
  <si>
    <t xml:space="preserve">Recovered Rate</t>
  </si>
  <si>
    <t xml:space="preserve">81.5%</t>
  </si>
  <si>
    <t xml:space="preserve">88.0%</t>
  </si>
  <si>
    <t xml:space="preserve">74.2%</t>
  </si>
  <si>
    <t xml:space="preserve">OPERATIONAL METRICS</t>
  </si>
  <si>
    <t xml:space="preserve">Average Length of Stay (LOS)</t>
  </si>
  <si>
    <t xml:space="preserve">3.79 days</t>
  </si>
  <si>
    <t xml:space="preserve">3.18 days</t>
  </si>
  <si>
    <t xml:space="preserve">5.03 days</t>
  </si>
  <si>
    <t xml:space="preserve">Average ED Wait Time</t>
  </si>
  <si>
    <t xml:space="preserve">45.9 min</t>
  </si>
  <si>
    <t xml:space="preserve">33.5 min</t>
  </si>
  <si>
    <t xml:space="preserve">61.1 min</t>
  </si>
  <si>
    <t xml:space="preserve">Total Licensed Beds</t>
  </si>
  <si>
    <t xml:space="preserve">190</t>
  </si>
  <si>
    <t xml:space="preserve">280</t>
  </si>
  <si>
    <t xml:space="preserve">480</t>
  </si>
  <si>
    <t xml:space="preserve">Hospital Type</t>
  </si>
  <si>
    <t xml:space="preserve">Secondary</t>
  </si>
  <si>
    <t xml:space="preserve">Tertiary</t>
  </si>
  <si>
    <t xml:space="preserve">Total Encounters (24 months)</t>
  </si>
  <si>
    <t xml:space="preserve">3,500</t>
  </si>
  <si>
    <t xml:space="preserve">3,600</t>
  </si>
  <si>
    <t xml:space="preserve">3,800</t>
  </si>
  <si>
    <t xml:space="preserve">PATIENT EXPERIENCE</t>
  </si>
  <si>
    <t xml:space="preserve">Avg Patient Satisfaction Score (0–10)</t>
  </si>
  <si>
    <t xml:space="preserve">6.92</t>
  </si>
  <si>
    <t xml:space="preserve">7.68</t>
  </si>
  <si>
    <t xml:space="preserve">5.53</t>
  </si>
  <si>
    <t xml:space="preserve">Quality Incident Rate</t>
  </si>
  <si>
    <t xml:space="preserve">24.6%</t>
  </si>
  <si>
    <t xml:space="preserve">24.3%</t>
  </si>
  <si>
    <t xml:space="preserve">23.6%</t>
  </si>
  <si>
    <t xml:space="preserve">SEVERITY DISTRIBUTION (Case Mix)</t>
  </si>
  <si>
    <t xml:space="preserve">Level 1 (Least Severe)</t>
  </si>
  <si>
    <t xml:space="preserve">11.7%</t>
  </si>
  <si>
    <t xml:space="preserve">11.8%</t>
  </si>
  <si>
    <t xml:space="preserve">11.5%</t>
  </si>
  <si>
    <t xml:space="preserve">Level 2</t>
  </si>
  <si>
    <t xml:space="preserve">22.4%</t>
  </si>
  <si>
    <t xml:space="preserve">22.1%</t>
  </si>
  <si>
    <t xml:space="preserve">22.6%</t>
  </si>
  <si>
    <t xml:space="preserve">Level 3 (Moderate)</t>
  </si>
  <si>
    <t xml:space="preserve">32.1%</t>
  </si>
  <si>
    <t xml:space="preserve">31.3%</t>
  </si>
  <si>
    <t xml:space="preserve">Level 4</t>
  </si>
  <si>
    <t xml:space="preserve">21.8%</t>
  </si>
  <si>
    <t xml:space="preserve">22.3%</t>
  </si>
  <si>
    <t xml:space="preserve">22.9%</t>
  </si>
  <si>
    <t xml:space="preserve">Level 5 (Most Severe)</t>
  </si>
  <si>
    <t xml:space="preserve">11.9%</t>
  </si>
  <si>
    <t xml:space="preserve">NOTE: Severity distributions are virtually identical across all three hospitals</t>
  </si>
  <si>
    <t xml:space="preserve">(max variance 1.1 pp). RMC's worse outcomes CANNOT be attributed to sicker patients.</t>
  </si>
  <si>
    <t xml:space="preserve">* Mortality flag only available for ECH. GGH and RMC did not include this field in their source data.</t>
  </si>
  <si>
    <t xml:space="preserve">** GGH and RMC expired rates estimated from outcome column. ECH rate confirmed via mortality_flag column.</t>
  </si>
  <si>
    <t xml:space="preserve">DATA QUALITY NOTES — Limitations and Assumptions</t>
  </si>
  <si>
    <t xml:space="preserve">Column / Issue</t>
  </si>
  <si>
    <t xml:space="preserve">Affected Rows</t>
  </si>
  <si>
    <t xml:space="preserve">Explanation</t>
  </si>
  <si>
    <t xml:space="preserve">Status</t>
  </si>
  <si>
    <t xml:space="preserve">mortality_flag</t>
  </si>
  <si>
    <t xml:space="preserve">GGH &amp; RMC (all rows)</t>
  </si>
  <si>
    <t xml:space="preserve">Column not present in GGH or RMC source data. Filled with NULL. Cross-hospital mortality comparison not possible without additional data.</t>
  </si>
  <si>
    <t xml:space="preserve">Documented limitation</t>
  </si>
  <si>
    <t xml:space="preserve">ed_arrival_time / ed_wait_minutes</t>
  </si>
  <si>
    <t xml:space="preserve">~57–59% blank</t>
  </si>
  <si>
    <t xml:space="preserve">Only populated for Emergency admissions. All blanks are Elective or Urgent encounters which do not pass through the ED. Expected by design.</t>
  </si>
  <si>
    <t xml:space="preserve">Expected — no action</t>
  </si>
  <si>
    <t xml:space="preserve">denial_reason</t>
  </si>
  <si>
    <t xml:space="preserve">46–83% blank</t>
  </si>
  <si>
    <t xml:space="preserve">Only populated where claim_status = Denied. Paid and Pending claims have no denial reason. Correct by design.</t>
  </si>
  <si>
    <t xml:space="preserve">complication_type</t>
  </si>
  <si>
    <t xml:space="preserve">82–89% blank</t>
  </si>
  <si>
    <t xml:space="preserve">Only populated where complication_flag = 1. No complication means no type to record.</t>
  </si>
  <si>
    <t xml:space="preserve">quality_incident</t>
  </si>
  <si>
    <t xml:space="preserve">~75% blank</t>
  </si>
  <si>
    <t xml:space="preserve">Blank means no incident reported. Zero mismatches with has_quality_incident flag.</t>
  </si>
  <si>
    <t xml:space="preserve">patient_age = 0</t>
  </si>
  <si>
    <t xml:space="preserve">63 rows</t>
  </si>
  <si>
    <t xml:space="preserve">Source data entry error at hospital level. Age group left as NULL for these rows. Negligible impact (&lt;0.6% of dataset).</t>
  </si>
  <si>
    <t xml:space="preserve">Source data issue</t>
  </si>
  <si>
    <t xml:space="preserve">discharge_date missing</t>
  </si>
  <si>
    <t xml:space="preserve">1 row (ECH)</t>
  </si>
  <si>
    <t xml:space="preserve">Single ECH encounter (ECH-ENC-000545) missing discharge date. LOS is NULL for this row only.</t>
  </si>
  <si>
    <t xml:space="preserve">claim_status variants</t>
  </si>
  <si>
    <t xml:space="preserve">303 rows</t>
  </si>
  <si>
    <t xml:space="preserve">Eight spellings of 'Appealing' standardised to 'Under Appeal' during Python cleaning. Denial counts unaffected.</t>
  </si>
  <si>
    <t xml:space="preserve">Fixed in cleaning</t>
  </si>
  <si>
    <t xml:space="preserve">patient_gender typos</t>
  </si>
  <si>
    <t xml:space="preserve">786 rows</t>
  </si>
  <si>
    <t xml:space="preserve">Misspellings (Mal, Mae, Femal, Femle, Feale) standardised to Male/Female during Python cleaning.</t>
  </si>
  <si>
    <t xml:space="preserve">department name variants</t>
  </si>
  <si>
    <t xml:space="preserve">193 rows</t>
  </si>
  <si>
    <t xml:space="preserve">Abbreviated names (Intmed, Gen Surge, etc.) standardised to full names during Python cleaning.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</si>
</sst>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.00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8AA0C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D1933"/>
      <name val="Arial"/>
      <family val="0"/>
      <charset val="1"/>
    </font>
    <font>
      <b val="true"/>
      <sz val="9"/>
      <color rgb="FFFCD34D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8"/>
      <color rgb="FF94A3B8"/>
      <name val="Arial"/>
      <family val="0"/>
      <charset val="1"/>
    </font>
    <font>
      <sz val="9"/>
      <color rgb="FF0D1933"/>
      <name val="Arial"/>
      <family val="0"/>
      <charset val="1"/>
    </font>
    <font>
      <b val="true"/>
      <sz val="9"/>
      <color rgb="FF1B3A6B"/>
      <name val="Arial"/>
      <family val="0"/>
      <charset val="1"/>
    </font>
    <font>
      <b val="true"/>
      <sz val="10"/>
      <color rgb="FF92400E"/>
      <name val="Arial"/>
      <family val="0"/>
      <charset val="1"/>
    </font>
    <font>
      <b val="true"/>
      <sz val="10"/>
      <color rgb="FF065F46"/>
      <name val="Arial"/>
      <family val="0"/>
      <charset val="1"/>
    </font>
    <font>
      <b val="true"/>
      <sz val="10"/>
      <color rgb="FF991B1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3"/>
      <color rgb="FFFCD34D"/>
      <name val="Arial"/>
      <family val="0"/>
      <charset val="1"/>
    </font>
    <font>
      <sz val="9"/>
      <color rgb="FF1E3A5F"/>
      <name val="Arial"/>
      <family val="0"/>
      <charset val="1"/>
    </font>
    <font>
      <b val="true"/>
      <sz val="9"/>
      <color rgb="FF1E3A5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8"/>
      <color rgb="FF8AA0C0"/>
      <name val="Arial"/>
      <family val="0"/>
      <charset val="1"/>
    </font>
    <font>
      <b val="true"/>
      <sz val="9"/>
      <color rgb="FF0D1933"/>
      <name val="Arial"/>
      <family val="0"/>
      <charset val="1"/>
    </font>
    <font>
      <b val="true"/>
      <sz val="9"/>
      <color rgb="FF065F46"/>
      <name val="Arial"/>
      <family val="0"/>
      <charset val="1"/>
    </font>
    <font>
      <sz val="9"/>
      <color rgb="FF991B1B"/>
      <name val="Arial"/>
      <family val="0"/>
      <charset val="1"/>
    </font>
    <font>
      <i val="true"/>
      <sz val="8"/>
      <color rgb="FF92400E"/>
      <name val="Arial"/>
      <family val="0"/>
      <charset val="1"/>
    </font>
    <font>
      <i val="true"/>
      <sz val="8"/>
      <color rgb="FF475569"/>
      <name val="Arial"/>
      <family val="0"/>
      <charset val="1"/>
    </font>
    <font>
      <sz val="9"/>
      <color rgb="FF92400E"/>
      <name val="Arial"/>
      <family val="0"/>
      <charset val="1"/>
    </font>
    <font>
      <sz val="9"/>
      <color rgb="FF065F46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0D1933"/>
        <bgColor rgb="FF0A1428"/>
      </patternFill>
    </fill>
    <fill>
      <patternFill patternType="solid">
        <fgColor rgb="FFF0F4F8"/>
        <bgColor rgb="FFEFF6FF"/>
      </patternFill>
    </fill>
    <fill>
      <patternFill patternType="solid">
        <fgColor rgb="FF1B3A6B"/>
        <bgColor rgb="FF1E3A5F"/>
      </patternFill>
    </fill>
    <fill>
      <patternFill patternType="solid">
        <fgColor rgb="FF1E3A5F"/>
        <bgColor rgb="FF1B3A6B"/>
      </patternFill>
    </fill>
    <fill>
      <patternFill patternType="solid">
        <fgColor rgb="FF0A2040"/>
        <bgColor rgb="FF0D1933"/>
      </patternFill>
    </fill>
    <fill>
      <patternFill patternType="solid">
        <fgColor rgb="FF60A5FA"/>
        <bgColor rgb="FF8AA0C0"/>
      </patternFill>
    </fill>
    <fill>
      <patternFill patternType="solid">
        <fgColor rgb="FFFFFFFF"/>
        <bgColor rgb="FFF7FAFF"/>
      </patternFill>
    </fill>
    <fill>
      <patternFill patternType="solid">
        <fgColor rgb="FFFEF3C7"/>
        <bgColor rgb="FFFFF5F5"/>
      </patternFill>
    </fill>
    <fill>
      <patternFill patternType="solid">
        <fgColor rgb="FFD1FAE5"/>
        <bgColor rgb="FFF0FDF4"/>
      </patternFill>
    </fill>
    <fill>
      <patternFill patternType="solid">
        <fgColor rgb="FFEFF6FF"/>
        <bgColor rgb="FFF0F4F8"/>
      </patternFill>
    </fill>
    <fill>
      <patternFill patternType="solid">
        <fgColor rgb="FFFEE2E2"/>
        <bgColor rgb="FFFEF3C7"/>
      </patternFill>
    </fill>
    <fill>
      <patternFill patternType="solid">
        <fgColor rgb="FFF7FAFF"/>
        <bgColor rgb="FFEFF6FF"/>
      </patternFill>
    </fill>
    <fill>
      <patternFill patternType="solid">
        <fgColor rgb="FF0A1428"/>
        <bgColor rgb="FF0D1933"/>
      </patternFill>
    </fill>
    <fill>
      <patternFill patternType="solid">
        <fgColor rgb="FF1A2D4A"/>
        <bgColor rgb="FF1E3A5F"/>
      </patternFill>
    </fill>
    <fill>
      <patternFill patternType="solid">
        <fgColor rgb="FFFFF5F5"/>
        <bgColor rgb="FFF7FAFF"/>
      </patternFill>
    </fill>
    <fill>
      <patternFill patternType="solid">
        <fgColor rgb="FFF0FDF4"/>
        <bgColor rgb="FFF7FAFF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1B3A6B"/>
      </left>
      <right style="thin">
        <color rgb="FF1B3A6B"/>
      </right>
      <top style="thin">
        <color rgb="FF1B3A6B"/>
      </top>
      <bottom style="thin">
        <color rgb="FF1B3A6B"/>
      </bottom>
      <diagonal/>
    </border>
    <border diagonalUp="false" diagonalDown="false">
      <left style="thin">
        <color rgb="FF60A5FA"/>
      </left>
      <right/>
      <top style="thin">
        <color rgb="FF60A5FA"/>
      </top>
      <bottom style="thin">
        <color rgb="FF60A5FA"/>
      </bottom>
      <diagonal/>
    </border>
    <border diagonalUp="false" diagonalDown="false">
      <left style="thin">
        <color rgb="FF60A5FA"/>
      </left>
      <right style="thin">
        <color rgb="FF60A5FA"/>
      </right>
      <top style="thin">
        <color rgb="FF60A5FA"/>
      </top>
      <bottom style="thin">
        <color rgb="FF60A5FA"/>
      </bottom>
      <diagonal/>
    </border>
    <border diagonalUp="false" diagonalDown="false">
      <left style="thin">
        <color rgb="FFCBD5E1"/>
      </left>
      <right/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1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1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13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9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008000"/>
      <rgbColor rgb="FF0D1933"/>
      <rgbColor rgb="FF808000"/>
      <rgbColor rgb="FF800080"/>
      <rgbColor rgb="FF065F46"/>
      <rgbColor rgb="FFFEE2E2"/>
      <rgbColor rgb="FF808080"/>
      <rgbColor rgb="FF8AA0C0"/>
      <rgbColor rgb="FF993366"/>
      <rgbColor rgb="FFFEF3C7"/>
      <rgbColor rgb="FFF0FDF4"/>
      <rgbColor rgb="FF660066"/>
      <rgbColor rgb="FFFF8080"/>
      <rgbColor rgb="FF0066CC"/>
      <rgbColor rgb="FFCBD5E1"/>
      <rgbColor rgb="FF0A1428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F6FF"/>
      <rgbColor rgb="FFD1FAE5"/>
      <rgbColor rgb="FFFFF5F5"/>
      <rgbColor rgb="FFF0F4F8"/>
      <rgbColor rgb="FFF7FAFF"/>
      <rgbColor rgb="FFCC99FF"/>
      <rgbColor rgb="FFFCD34D"/>
      <rgbColor rgb="FF3366FF"/>
      <rgbColor rgb="FF60A5FA"/>
      <rgbColor rgb="FF99CC00"/>
      <rgbColor rgb="FFFFCC00"/>
      <rgbColor rgb="FFFF9900"/>
      <rgbColor rgb="FFFF6600"/>
      <rgbColor rgb="FF475569"/>
      <rgbColor rgb="FF94A3B8"/>
      <rgbColor rgb="FF1B3A6B"/>
      <rgbColor rgb="FF339966"/>
      <rgbColor rgb="FF0A2040"/>
      <rgbColor rgb="FF333300"/>
      <rgbColor rgb="FF92400E"/>
      <rgbColor rgb="FF993366"/>
      <rgbColor rgb="FF1E3A5F"/>
      <rgbColor rgb="FF1A2D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0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7.5" hidden="false" customHeight="true" outlineLevel="0" collapsed="false">
      <c r="A3" s="3"/>
      <c r="B3" s="3"/>
      <c r="C3" s="3"/>
      <c r="D3" s="3"/>
      <c r="E3" s="3"/>
      <c r="F3" s="3"/>
      <c r="G3" s="3"/>
      <c r="H3" s="3"/>
    </row>
    <row r="4" customFormat="false" ht="31.5" hidden="false" customHeight="true" outlineLevel="0" collapsed="false">
      <c r="A4" s="4" t="s">
        <v>2</v>
      </c>
      <c r="B4" s="4" t="s">
        <v>3</v>
      </c>
      <c r="C4" s="5"/>
      <c r="D4" s="6" t="s">
        <v>4</v>
      </c>
      <c r="E4" s="4"/>
      <c r="F4" s="7" t="s">
        <v>5</v>
      </c>
      <c r="G4" s="8"/>
      <c r="H4" s="6" t="s">
        <v>6</v>
      </c>
    </row>
    <row r="5" customFormat="false" ht="19.5" hidden="false" customHeight="true" outlineLevel="0" collapsed="false">
      <c r="A5" s="9"/>
      <c r="B5" s="9"/>
      <c r="C5" s="5"/>
      <c r="D5" s="10" t="s">
        <v>7</v>
      </c>
      <c r="E5" s="11" t="s">
        <v>8</v>
      </c>
      <c r="F5" s="12" t="s">
        <v>7</v>
      </c>
      <c r="G5" s="11" t="s">
        <v>8</v>
      </c>
      <c r="H5" s="10" t="s">
        <v>7</v>
      </c>
    </row>
    <row r="6" customFormat="false" ht="18" hidden="false" customHeight="true" outlineLevel="0" collapsed="false">
      <c r="A6" s="13" t="s">
        <v>9</v>
      </c>
      <c r="B6" s="13"/>
      <c r="C6" s="13"/>
      <c r="D6" s="13"/>
      <c r="E6" s="13"/>
      <c r="F6" s="13"/>
      <c r="G6" s="13"/>
      <c r="H6" s="13"/>
    </row>
    <row r="7" customFormat="false" ht="19.5" hidden="false" customHeight="true" outlineLevel="0" collapsed="false">
      <c r="A7" s="14" t="s">
        <v>10</v>
      </c>
      <c r="B7" s="15" t="n">
        <v>0.14</v>
      </c>
      <c r="C7" s="16"/>
      <c r="D7" s="17" t="n">
        <v>5</v>
      </c>
      <c r="E7" s="18" t="n">
        <f aca="false">D7*B7</f>
        <v>0.7</v>
      </c>
      <c r="F7" s="19" t="n">
        <v>9</v>
      </c>
      <c r="G7" s="20" t="n">
        <f aca="false">F7*B7</f>
        <v>1.26</v>
      </c>
      <c r="H7" s="21" t="n">
        <v>2</v>
      </c>
    </row>
    <row r="8" customFormat="false" ht="19.5" hidden="false" customHeight="true" outlineLevel="0" collapsed="false">
      <c r="A8" s="22" t="s">
        <v>11</v>
      </c>
      <c r="B8" s="23" t="n">
        <v>0.11</v>
      </c>
      <c r="C8" s="24"/>
      <c r="D8" s="17" t="n">
        <v>6</v>
      </c>
      <c r="E8" s="25" t="n">
        <f aca="false">D8*B8</f>
        <v>0.66</v>
      </c>
      <c r="F8" s="19" t="n">
        <v>8</v>
      </c>
      <c r="G8" s="20" t="n">
        <f aca="false">F8*B8</f>
        <v>0.88</v>
      </c>
      <c r="H8" s="21" t="n">
        <v>2</v>
      </c>
    </row>
    <row r="9" customFormat="false" ht="19.5" hidden="false" customHeight="true" outlineLevel="0" collapsed="false">
      <c r="A9" s="14" t="s">
        <v>12</v>
      </c>
      <c r="B9" s="15" t="n">
        <v>0.1</v>
      </c>
      <c r="C9" s="16"/>
      <c r="D9" s="17" t="n">
        <v>6</v>
      </c>
      <c r="E9" s="18" t="n">
        <f aca="false">D9*B9</f>
        <v>0.6</v>
      </c>
      <c r="F9" s="19" t="n">
        <v>8</v>
      </c>
      <c r="G9" s="20" t="n">
        <f aca="false">F9*B9</f>
        <v>0.8</v>
      </c>
      <c r="H9" s="21" t="n">
        <v>2</v>
      </c>
    </row>
    <row r="10" customFormat="false" ht="18" hidden="false" customHeight="true" outlineLevel="0" collapsed="false">
      <c r="A10" s="13" t="s">
        <v>13</v>
      </c>
      <c r="B10" s="13"/>
      <c r="C10" s="13"/>
      <c r="D10" s="13"/>
      <c r="E10" s="13"/>
      <c r="F10" s="13"/>
      <c r="G10" s="13"/>
      <c r="H10" s="13"/>
    </row>
    <row r="11" customFormat="false" ht="19.5" hidden="false" customHeight="true" outlineLevel="0" collapsed="false">
      <c r="A11" s="14" t="s">
        <v>14</v>
      </c>
      <c r="B11" s="15" t="n">
        <v>0.1</v>
      </c>
      <c r="C11" s="16"/>
      <c r="D11" s="17" t="n">
        <v>7</v>
      </c>
      <c r="E11" s="18" t="n">
        <f aca="false">D11*B11</f>
        <v>0.7</v>
      </c>
      <c r="F11" s="19" t="n">
        <v>9</v>
      </c>
      <c r="G11" s="20" t="n">
        <f aca="false">F11*B11</f>
        <v>0.9</v>
      </c>
      <c r="H11" s="21" t="n">
        <v>3</v>
      </c>
    </row>
    <row r="12" customFormat="false" ht="19.5" hidden="false" customHeight="true" outlineLevel="0" collapsed="false">
      <c r="A12" s="22" t="s">
        <v>15</v>
      </c>
      <c r="B12" s="23" t="n">
        <v>0.1</v>
      </c>
      <c r="C12" s="24"/>
      <c r="D12" s="17" t="n">
        <v>6</v>
      </c>
      <c r="E12" s="25" t="n">
        <f aca="false">D12*B12</f>
        <v>0.6</v>
      </c>
      <c r="F12" s="19" t="n">
        <v>9</v>
      </c>
      <c r="G12" s="20" t="n">
        <f aca="false">F12*B12</f>
        <v>0.9</v>
      </c>
      <c r="H12" s="21" t="n">
        <v>2</v>
      </c>
    </row>
    <row r="13" customFormat="false" ht="18" hidden="false" customHeight="true" outlineLevel="0" collapsed="false">
      <c r="A13" s="13" t="s">
        <v>16</v>
      </c>
      <c r="B13" s="13"/>
      <c r="C13" s="13"/>
      <c r="D13" s="13"/>
      <c r="E13" s="13"/>
      <c r="F13" s="13"/>
      <c r="G13" s="13"/>
      <c r="H13" s="13"/>
    </row>
    <row r="14" customFormat="false" ht="19.5" hidden="false" customHeight="true" outlineLevel="0" collapsed="false">
      <c r="A14" s="22" t="s">
        <v>17</v>
      </c>
      <c r="B14" s="23" t="n">
        <v>0.1</v>
      </c>
      <c r="C14" s="24"/>
      <c r="D14" s="17" t="n">
        <v>6</v>
      </c>
      <c r="E14" s="25" t="n">
        <f aca="false">D14*B14</f>
        <v>0.6</v>
      </c>
      <c r="F14" s="19" t="n">
        <v>9</v>
      </c>
      <c r="G14" s="20" t="n">
        <f aca="false">F14*B14</f>
        <v>0.9</v>
      </c>
      <c r="H14" s="21" t="n">
        <v>2</v>
      </c>
    </row>
    <row r="15" customFormat="false" ht="18" hidden="false" customHeight="true" outlineLevel="0" collapsed="false">
      <c r="A15" s="13" t="s">
        <v>18</v>
      </c>
      <c r="B15" s="13"/>
      <c r="C15" s="13"/>
      <c r="D15" s="13"/>
      <c r="E15" s="13"/>
      <c r="F15" s="13"/>
      <c r="G15" s="13"/>
      <c r="H15" s="13"/>
    </row>
    <row r="16" customFormat="false" ht="19.5" hidden="false" customHeight="true" outlineLevel="0" collapsed="false">
      <c r="A16" s="22" t="s">
        <v>19</v>
      </c>
      <c r="B16" s="23" t="n">
        <v>0.12</v>
      </c>
      <c r="C16" s="24"/>
      <c r="D16" s="17" t="n">
        <v>6</v>
      </c>
      <c r="E16" s="25" t="n">
        <f aca="false">D16*B16</f>
        <v>0.72</v>
      </c>
      <c r="F16" s="21" t="n">
        <v>2</v>
      </c>
      <c r="G16" s="20" t="n">
        <f aca="false">F16*B16</f>
        <v>0.24</v>
      </c>
      <c r="H16" s="19" t="n">
        <v>9</v>
      </c>
    </row>
    <row r="17" customFormat="false" ht="19.5" hidden="false" customHeight="true" outlineLevel="0" collapsed="false">
      <c r="A17" s="14" t="s">
        <v>20</v>
      </c>
      <c r="B17" s="15" t="n">
        <v>0.08</v>
      </c>
      <c r="C17" s="16"/>
      <c r="D17" s="17" t="n">
        <v>6</v>
      </c>
      <c r="E17" s="18" t="n">
        <f aca="false">D17*B17</f>
        <v>0.48</v>
      </c>
      <c r="F17" s="21" t="n">
        <v>2</v>
      </c>
      <c r="G17" s="20" t="n">
        <f aca="false">F17*B17</f>
        <v>0.16</v>
      </c>
      <c r="H17" s="19" t="n">
        <v>9</v>
      </c>
    </row>
    <row r="18" customFormat="false" ht="18" hidden="false" customHeight="true" outlineLevel="0" collapsed="false">
      <c r="A18" s="13" t="s">
        <v>21</v>
      </c>
      <c r="B18" s="13"/>
      <c r="C18" s="13"/>
      <c r="D18" s="13"/>
      <c r="E18" s="13"/>
      <c r="F18" s="13"/>
      <c r="G18" s="13"/>
      <c r="H18" s="13"/>
    </row>
    <row r="19" customFormat="false" ht="19.5" hidden="false" customHeight="true" outlineLevel="0" collapsed="false">
      <c r="A19" s="14" t="s">
        <v>22</v>
      </c>
      <c r="B19" s="15" t="n">
        <v>0.06</v>
      </c>
      <c r="C19" s="16"/>
      <c r="D19" s="17" t="n">
        <v>5</v>
      </c>
      <c r="E19" s="18" t="n">
        <f aca="false">D19*B19</f>
        <v>0.3</v>
      </c>
      <c r="F19" s="21" t="n">
        <v>1</v>
      </c>
      <c r="G19" s="20" t="n">
        <f aca="false">F19*B19</f>
        <v>0.06</v>
      </c>
      <c r="H19" s="19" t="n">
        <v>9</v>
      </c>
    </row>
    <row r="20" customFormat="false" ht="19.5" hidden="false" customHeight="true" outlineLevel="0" collapsed="false">
      <c r="A20" s="22" t="s">
        <v>23</v>
      </c>
      <c r="B20" s="23" t="n">
        <v>0.04</v>
      </c>
      <c r="C20" s="24"/>
      <c r="D20" s="19" t="n">
        <v>8</v>
      </c>
      <c r="E20" s="25" t="n">
        <f aca="false">D20*B20</f>
        <v>0.32</v>
      </c>
      <c r="F20" s="21" t="n">
        <v>1</v>
      </c>
      <c r="G20" s="20" t="n">
        <f aca="false">F20*B20</f>
        <v>0.04</v>
      </c>
      <c r="H20" s="17" t="n">
        <v>6</v>
      </c>
    </row>
    <row r="21" customFormat="false" ht="18" hidden="false" customHeight="true" outlineLevel="0" collapsed="false">
      <c r="A21" s="13" t="s">
        <v>24</v>
      </c>
      <c r="B21" s="13"/>
      <c r="C21" s="13"/>
      <c r="D21" s="13"/>
      <c r="E21" s="13"/>
      <c r="F21" s="13"/>
      <c r="G21" s="13"/>
      <c r="H21" s="13"/>
    </row>
    <row r="22" customFormat="false" ht="19.5" hidden="false" customHeight="true" outlineLevel="0" collapsed="false">
      <c r="A22" s="22" t="s">
        <v>25</v>
      </c>
      <c r="B22" s="23" t="n">
        <v>0.03</v>
      </c>
      <c r="C22" s="24"/>
      <c r="D22" s="21" t="n">
        <v>3</v>
      </c>
      <c r="E22" s="25" t="n">
        <f aca="false">D22*B22</f>
        <v>0.09</v>
      </c>
      <c r="F22" s="17" t="n">
        <v>6</v>
      </c>
      <c r="G22" s="20" t="n">
        <f aca="false">F22*B22</f>
        <v>0.18</v>
      </c>
      <c r="H22" s="19" t="n">
        <v>9</v>
      </c>
    </row>
    <row r="23" customFormat="false" ht="19.5" hidden="false" customHeight="true" outlineLevel="0" collapsed="false">
      <c r="A23" s="14" t="s">
        <v>26</v>
      </c>
      <c r="B23" s="15" t="n">
        <v>0.02</v>
      </c>
      <c r="C23" s="16"/>
      <c r="D23" s="19" t="n">
        <v>8</v>
      </c>
      <c r="E23" s="18" t="n">
        <f aca="false">D23*B23</f>
        <v>0.16</v>
      </c>
      <c r="F23" s="21" t="n">
        <v>2</v>
      </c>
      <c r="G23" s="20" t="n">
        <f aca="false">F23*B23</f>
        <v>0.04</v>
      </c>
      <c r="H23" s="17" t="n">
        <v>5</v>
      </c>
    </row>
    <row r="24" customFormat="false" ht="6" hidden="false" customHeight="true" outlineLevel="0" collapsed="false"/>
    <row r="25" customFormat="false" ht="27.75" hidden="false" customHeight="true" outlineLevel="0" collapsed="false">
      <c r="A25" s="26" t="s">
        <v>27</v>
      </c>
      <c r="B25" s="27" t="s">
        <v>28</v>
      </c>
      <c r="C25" s="28"/>
      <c r="D25" s="28"/>
      <c r="E25" s="29" t="n">
        <f aca="false">E7+E8+E9+E11+E12+E14+E16+E17+E19+E20+E22+E23</f>
        <v>5.93</v>
      </c>
      <c r="F25" s="28"/>
      <c r="G25" s="30" t="n">
        <f aca="false">G7+G8+G9+G11+G12+G14+G16+G17+G19+G20+G22+G23</f>
        <v>6.36</v>
      </c>
      <c r="H25" s="31" t="n">
        <v>4.35</v>
      </c>
    </row>
    <row r="27" customFormat="false" ht="21.75" hidden="false" customHeight="true" outlineLevel="0" collapsed="false">
      <c r="A27" s="32" t="s">
        <v>29</v>
      </c>
      <c r="B27" s="32"/>
      <c r="C27" s="32"/>
      <c r="D27" s="33" t="s">
        <v>30</v>
      </c>
      <c r="E27" s="34"/>
      <c r="F27" s="35" t="s">
        <v>31</v>
      </c>
      <c r="G27" s="36"/>
      <c r="H27" s="33" t="s">
        <v>32</v>
      </c>
    </row>
    <row r="29" customFormat="false" ht="15.75" hidden="false" customHeight="true" outlineLevel="0" collapsed="false">
      <c r="A29" s="37" t="s">
        <v>33</v>
      </c>
      <c r="B29" s="37"/>
      <c r="C29" s="37"/>
      <c r="D29" s="37"/>
      <c r="E29" s="37"/>
      <c r="F29" s="37"/>
      <c r="G29" s="37"/>
      <c r="H29" s="37"/>
    </row>
    <row r="30" customFormat="false" ht="64.5" hidden="false" customHeight="true" outlineLevel="0" collapsed="false">
      <c r="A30" s="38" t="s">
        <v>34</v>
      </c>
      <c r="B30" s="38"/>
      <c r="C30" s="38"/>
      <c r="D30" s="38"/>
      <c r="E30" s="38"/>
      <c r="F30" s="38"/>
      <c r="G30" s="38"/>
      <c r="H30" s="38"/>
    </row>
    <row r="32" customFormat="false" ht="18" hidden="false" customHeight="true" outlineLevel="0" collapsed="false">
      <c r="A32" s="39" t="s">
        <v>35</v>
      </c>
      <c r="B32" s="39"/>
      <c r="C32" s="39"/>
      <c r="D32" s="39"/>
      <c r="E32" s="39"/>
      <c r="F32" s="39"/>
      <c r="G32" s="39"/>
      <c r="H32" s="39"/>
    </row>
    <row r="33" customFormat="false" ht="51.75" hidden="false" customHeight="true" outlineLevel="0" collapsed="false">
      <c r="A33" s="40" t="s">
        <v>36</v>
      </c>
      <c r="B33" s="40"/>
      <c r="C33" s="40"/>
      <c r="D33" s="40"/>
      <c r="E33" s="40"/>
      <c r="F33" s="40"/>
      <c r="G33" s="40"/>
      <c r="H33" s="40"/>
    </row>
    <row r="34" customFormat="false" ht="51.75" hidden="false" customHeight="true" outlineLevel="0" collapsed="false">
      <c r="A34" s="40" t="s">
        <v>37</v>
      </c>
      <c r="B34" s="40"/>
      <c r="C34" s="40"/>
      <c r="D34" s="40"/>
      <c r="E34" s="40"/>
      <c r="F34" s="40"/>
      <c r="G34" s="40"/>
      <c r="H34" s="40"/>
    </row>
    <row r="36" customFormat="false" ht="18" hidden="false" customHeight="true" outlineLevel="0" collapsed="false">
      <c r="A36" s="39" t="s">
        <v>38</v>
      </c>
      <c r="B36" s="39"/>
      <c r="C36" s="39"/>
      <c r="D36" s="39"/>
      <c r="E36" s="39"/>
      <c r="F36" s="39"/>
      <c r="G36" s="39"/>
      <c r="H36" s="39"/>
    </row>
    <row r="37" customFormat="false" ht="37.5" hidden="false" customHeight="true" outlineLevel="0" collapsed="false">
      <c r="A37" s="41" t="s">
        <v>39</v>
      </c>
      <c r="B37" s="42" t="s">
        <v>40</v>
      </c>
      <c r="C37" s="42"/>
      <c r="D37" s="42"/>
      <c r="E37" s="42"/>
      <c r="F37" s="42"/>
      <c r="G37" s="42"/>
      <c r="H37" s="42"/>
    </row>
    <row r="38" customFormat="false" ht="37.5" hidden="false" customHeight="true" outlineLevel="0" collapsed="false">
      <c r="A38" s="41" t="s">
        <v>41</v>
      </c>
      <c r="B38" s="42" t="s">
        <v>42</v>
      </c>
      <c r="C38" s="42"/>
      <c r="D38" s="42"/>
      <c r="E38" s="42"/>
      <c r="F38" s="42"/>
      <c r="G38" s="42"/>
      <c r="H38" s="42"/>
    </row>
    <row r="39" customFormat="false" ht="37.5" hidden="false" customHeight="true" outlineLevel="0" collapsed="false">
      <c r="A39" s="41" t="s">
        <v>43</v>
      </c>
      <c r="B39" s="42" t="s">
        <v>44</v>
      </c>
      <c r="C39" s="42"/>
      <c r="D39" s="42"/>
      <c r="E39" s="42"/>
      <c r="F39" s="42"/>
      <c r="G39" s="42"/>
      <c r="H39" s="42"/>
    </row>
    <row r="40" customFormat="false" ht="37.5" hidden="false" customHeight="true" outlineLevel="0" collapsed="false">
      <c r="A40" s="41" t="s">
        <v>45</v>
      </c>
      <c r="B40" s="42" t="s">
        <v>46</v>
      </c>
      <c r="C40" s="42"/>
      <c r="D40" s="42"/>
      <c r="E40" s="42"/>
      <c r="F40" s="42"/>
      <c r="G40" s="42"/>
      <c r="H40" s="42"/>
    </row>
    <row r="41" customFormat="false" ht="37.5" hidden="false" customHeight="true" outlineLevel="0" collapsed="false">
      <c r="A41" s="41" t="s">
        <v>47</v>
      </c>
      <c r="B41" s="42" t="s">
        <v>48</v>
      </c>
      <c r="C41" s="42"/>
      <c r="D41" s="42"/>
      <c r="E41" s="42"/>
      <c r="F41" s="42"/>
      <c r="G41" s="42"/>
      <c r="H41" s="42"/>
    </row>
    <row r="42" customFormat="false" ht="37.5" hidden="false" customHeight="true" outlineLevel="0" collapsed="false">
      <c r="A42" s="41" t="s">
        <v>49</v>
      </c>
      <c r="B42" s="42" t="s">
        <v>50</v>
      </c>
      <c r="C42" s="42"/>
      <c r="D42" s="42"/>
      <c r="E42" s="42"/>
      <c r="F42" s="42"/>
      <c r="G42" s="42"/>
      <c r="H42" s="42"/>
    </row>
  </sheetData>
  <mergeCells count="23">
    <mergeCell ref="A1:H1"/>
    <mergeCell ref="A2:H2"/>
    <mergeCell ref="A3:H3"/>
    <mergeCell ref="C4:C5"/>
    <mergeCell ref="A6:H6"/>
    <mergeCell ref="A10:H10"/>
    <mergeCell ref="A13:H13"/>
    <mergeCell ref="A15:H15"/>
    <mergeCell ref="A18:H18"/>
    <mergeCell ref="A21:H21"/>
    <mergeCell ref="A27:C27"/>
    <mergeCell ref="A29:H29"/>
    <mergeCell ref="A30:H30"/>
    <mergeCell ref="A32:H32"/>
    <mergeCell ref="A33:H33"/>
    <mergeCell ref="A34:H34"/>
    <mergeCell ref="A36:H36"/>
    <mergeCell ref="B37:H37"/>
    <mergeCell ref="B38:H38"/>
    <mergeCell ref="B39:H39"/>
    <mergeCell ref="B40:H40"/>
    <mergeCell ref="B41:H41"/>
    <mergeCell ref="B42:H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4" min="2" style="0" width="18"/>
  </cols>
  <sheetData>
    <row r="1" customFormat="false" ht="24" hidden="false" customHeight="true" outlineLevel="0" collapsed="false">
      <c r="A1" s="43" t="s">
        <v>51</v>
      </c>
      <c r="B1" s="43"/>
      <c r="C1" s="43"/>
      <c r="D1" s="43"/>
    </row>
    <row r="2" customFormat="false" ht="15.75" hidden="false" customHeight="true" outlineLevel="0" collapsed="false">
      <c r="A2" s="44" t="s">
        <v>52</v>
      </c>
      <c r="B2" s="44"/>
      <c r="C2" s="44"/>
      <c r="D2" s="44"/>
    </row>
    <row r="3" customFormat="false" ht="19.5" hidden="false" customHeight="true" outlineLevel="0" collapsed="false">
      <c r="A3" s="45" t="s">
        <v>53</v>
      </c>
      <c r="B3" s="45" t="s">
        <v>54</v>
      </c>
      <c r="C3" s="35" t="s">
        <v>55</v>
      </c>
      <c r="D3" s="45" t="s">
        <v>56</v>
      </c>
    </row>
    <row r="4" customFormat="false" ht="18" hidden="false" customHeight="true" outlineLevel="0" collapsed="false">
      <c r="A4" s="46" t="s">
        <v>57</v>
      </c>
      <c r="B4" s="47" t="s">
        <v>58</v>
      </c>
      <c r="C4" s="48" t="s">
        <v>59</v>
      </c>
      <c r="D4" s="47" t="s">
        <v>60</v>
      </c>
    </row>
    <row r="5" customFormat="false" ht="18" hidden="false" customHeight="true" outlineLevel="0" collapsed="false">
      <c r="A5" s="49" t="s">
        <v>61</v>
      </c>
      <c r="B5" s="50" t="s">
        <v>62</v>
      </c>
      <c r="C5" s="48" t="s">
        <v>63</v>
      </c>
      <c r="D5" s="50" t="s">
        <v>64</v>
      </c>
    </row>
    <row r="6" customFormat="false" ht="18" hidden="false" customHeight="true" outlineLevel="0" collapsed="false">
      <c r="A6" s="46" t="s">
        <v>65</v>
      </c>
      <c r="B6" s="47" t="s">
        <v>66</v>
      </c>
      <c r="C6" s="48" t="s">
        <v>67</v>
      </c>
      <c r="D6" s="47" t="s">
        <v>68</v>
      </c>
    </row>
    <row r="7" customFormat="false" ht="18" hidden="false" customHeight="true" outlineLevel="0" collapsed="false">
      <c r="A7" s="49" t="s">
        <v>69</v>
      </c>
      <c r="B7" s="50" t="s">
        <v>70</v>
      </c>
      <c r="C7" s="48" t="s">
        <v>71</v>
      </c>
      <c r="D7" s="50" t="s">
        <v>72</v>
      </c>
    </row>
    <row r="8" customFormat="false" ht="18" hidden="false" customHeight="true" outlineLevel="0" collapsed="false">
      <c r="A8" s="46" t="s">
        <v>73</v>
      </c>
      <c r="B8" s="47" t="s">
        <v>74</v>
      </c>
      <c r="C8" s="48" t="s">
        <v>75</v>
      </c>
      <c r="D8" s="47" t="s">
        <v>76</v>
      </c>
    </row>
    <row r="9" customFormat="false" ht="18" hidden="false" customHeight="true" outlineLevel="0" collapsed="false">
      <c r="A9" s="49" t="s">
        <v>77</v>
      </c>
      <c r="B9" s="50" t="s">
        <v>78</v>
      </c>
      <c r="C9" s="48" t="s">
        <v>79</v>
      </c>
      <c r="D9" s="50" t="s">
        <v>80</v>
      </c>
    </row>
    <row r="10" customFormat="false" ht="18" hidden="false" customHeight="true" outlineLevel="0" collapsed="false">
      <c r="A10" s="46" t="s">
        <v>81</v>
      </c>
      <c r="B10" s="47" t="s">
        <v>82</v>
      </c>
      <c r="C10" s="48" t="s">
        <v>83</v>
      </c>
      <c r="D10" s="47" t="s">
        <v>84</v>
      </c>
    </row>
    <row r="11" customFormat="false" ht="18" hidden="false" customHeight="true" outlineLevel="0" collapsed="false">
      <c r="A11" s="49" t="s">
        <v>85</v>
      </c>
      <c r="B11" s="50" t="s">
        <v>86</v>
      </c>
      <c r="C11" s="48" t="s">
        <v>87</v>
      </c>
      <c r="D11" s="50" t="s">
        <v>88</v>
      </c>
    </row>
    <row r="12" customFormat="false" ht="7.5" hidden="false" customHeight="true" outlineLevel="0" collapsed="false">
      <c r="A12" s="3"/>
      <c r="B12" s="3"/>
      <c r="C12" s="3"/>
      <c r="D12" s="3"/>
    </row>
    <row r="13" customFormat="false" ht="18" hidden="false" customHeight="true" outlineLevel="0" collapsed="false">
      <c r="A13" s="13" t="s">
        <v>89</v>
      </c>
      <c r="B13" s="13"/>
      <c r="C13" s="13"/>
      <c r="D13" s="13"/>
    </row>
    <row r="14" customFormat="false" ht="18" hidden="false" customHeight="true" outlineLevel="0" collapsed="false">
      <c r="A14" s="46" t="s">
        <v>90</v>
      </c>
      <c r="B14" s="47" t="s">
        <v>91</v>
      </c>
      <c r="C14" s="48" t="s">
        <v>92</v>
      </c>
      <c r="D14" s="47" t="s">
        <v>93</v>
      </c>
    </row>
    <row r="15" customFormat="false" ht="18" hidden="false" customHeight="true" outlineLevel="0" collapsed="false">
      <c r="A15" s="49" t="s">
        <v>94</v>
      </c>
      <c r="B15" s="50" t="s">
        <v>95</v>
      </c>
      <c r="C15" s="48" t="s">
        <v>96</v>
      </c>
      <c r="D15" s="50" t="s">
        <v>97</v>
      </c>
    </row>
    <row r="16" customFormat="false" ht="18" hidden="false" customHeight="true" outlineLevel="0" collapsed="false">
      <c r="A16" s="46" t="s">
        <v>98</v>
      </c>
      <c r="B16" s="47" t="s">
        <v>99</v>
      </c>
      <c r="C16" s="48" t="s">
        <v>100</v>
      </c>
      <c r="D16" s="47" t="s">
        <v>101</v>
      </c>
    </row>
    <row r="17" customFormat="false" ht="18" hidden="false" customHeight="true" outlineLevel="0" collapsed="false">
      <c r="A17" s="49" t="s">
        <v>102</v>
      </c>
      <c r="B17" s="50" t="s">
        <v>103</v>
      </c>
      <c r="C17" s="48" t="s">
        <v>104</v>
      </c>
      <c r="D17" s="50" t="s">
        <v>105</v>
      </c>
    </row>
    <row r="18" customFormat="false" ht="18" hidden="false" customHeight="true" outlineLevel="0" collapsed="false">
      <c r="A18" s="46" t="s">
        <v>106</v>
      </c>
      <c r="B18" s="47" t="s">
        <v>107</v>
      </c>
      <c r="C18" s="48" t="s">
        <v>108</v>
      </c>
      <c r="D18" s="47" t="s">
        <v>109</v>
      </c>
    </row>
    <row r="19" customFormat="false" ht="18" hidden="false" customHeight="true" outlineLevel="0" collapsed="false">
      <c r="A19" s="49" t="s">
        <v>110</v>
      </c>
      <c r="B19" s="50" t="s">
        <v>111</v>
      </c>
      <c r="C19" s="48" t="s">
        <v>112</v>
      </c>
      <c r="D19" s="50" t="s">
        <v>113</v>
      </c>
    </row>
    <row r="20" customFormat="false" ht="7.5" hidden="false" customHeight="true" outlineLevel="0" collapsed="false">
      <c r="A20" s="3"/>
      <c r="B20" s="3"/>
      <c r="C20" s="3"/>
      <c r="D20" s="3"/>
    </row>
    <row r="21" customFormat="false" ht="18" hidden="false" customHeight="true" outlineLevel="0" collapsed="false">
      <c r="A21" s="13" t="s">
        <v>114</v>
      </c>
      <c r="B21" s="13"/>
      <c r="C21" s="13"/>
      <c r="D21" s="13"/>
    </row>
    <row r="22" customFormat="false" ht="18" hidden="false" customHeight="true" outlineLevel="0" collapsed="false">
      <c r="A22" s="46" t="s">
        <v>115</v>
      </c>
      <c r="B22" s="47" t="s">
        <v>116</v>
      </c>
      <c r="C22" s="48" t="s">
        <v>117</v>
      </c>
      <c r="D22" s="47" t="s">
        <v>118</v>
      </c>
    </row>
    <row r="23" customFormat="false" ht="18" hidden="false" customHeight="true" outlineLevel="0" collapsed="false">
      <c r="A23" s="49" t="s">
        <v>119</v>
      </c>
      <c r="B23" s="50" t="s">
        <v>120</v>
      </c>
      <c r="C23" s="48" t="s">
        <v>121</v>
      </c>
      <c r="D23" s="50" t="s">
        <v>122</v>
      </c>
    </row>
    <row r="24" customFormat="false" ht="18" hidden="false" customHeight="true" outlineLevel="0" collapsed="false">
      <c r="A24" s="46" t="s">
        <v>123</v>
      </c>
      <c r="B24" s="47" t="s">
        <v>124</v>
      </c>
      <c r="C24" s="48" t="s">
        <v>125</v>
      </c>
      <c r="D24" s="47" t="s">
        <v>126</v>
      </c>
    </row>
    <row r="25" customFormat="false" ht="18" hidden="false" customHeight="true" outlineLevel="0" collapsed="false">
      <c r="A25" s="49" t="s">
        <v>127</v>
      </c>
      <c r="B25" s="50" t="s">
        <v>128</v>
      </c>
      <c r="C25" s="48" t="s">
        <v>129</v>
      </c>
      <c r="D25" s="50" t="s">
        <v>130</v>
      </c>
    </row>
    <row r="26" customFormat="false" ht="18" hidden="false" customHeight="true" outlineLevel="0" collapsed="false">
      <c r="A26" s="46" t="s">
        <v>131</v>
      </c>
      <c r="B26" s="47" t="s">
        <v>132</v>
      </c>
      <c r="C26" s="48" t="s">
        <v>133</v>
      </c>
      <c r="D26" s="47" t="s">
        <v>134</v>
      </c>
    </row>
  </sheetData>
  <mergeCells count="6">
    <mergeCell ref="A1:D1"/>
    <mergeCell ref="A2:D2"/>
    <mergeCell ref="A12:D12"/>
    <mergeCell ref="A13:D13"/>
    <mergeCell ref="A20:D20"/>
    <mergeCell ref="A21:D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8"/>
  </cols>
  <sheetData>
    <row r="1" customFormat="false" ht="24" hidden="false" customHeight="true" outlineLevel="0" collapsed="false">
      <c r="A1" s="43" t="s">
        <v>135</v>
      </c>
      <c r="B1" s="43"/>
      <c r="C1" s="43"/>
      <c r="D1" s="43"/>
    </row>
    <row r="2" customFormat="false" ht="15.75" hidden="false" customHeight="true" outlineLevel="0" collapsed="false">
      <c r="A2" s="44" t="s">
        <v>52</v>
      </c>
      <c r="B2" s="44"/>
      <c r="C2" s="44"/>
      <c r="D2" s="44"/>
    </row>
    <row r="3" customFormat="false" ht="19.5" hidden="false" customHeight="true" outlineLevel="0" collapsed="false">
      <c r="A3" s="45" t="s">
        <v>53</v>
      </c>
      <c r="B3" s="45" t="s">
        <v>54</v>
      </c>
      <c r="C3" s="35" t="s">
        <v>55</v>
      </c>
      <c r="D3" s="45" t="s">
        <v>56</v>
      </c>
    </row>
    <row r="4" customFormat="false" ht="18" hidden="false" customHeight="true" outlineLevel="0" collapsed="false">
      <c r="A4" s="13" t="s">
        <v>136</v>
      </c>
      <c r="B4" s="13"/>
      <c r="C4" s="13"/>
      <c r="D4" s="13"/>
    </row>
    <row r="5" customFormat="false" ht="18" hidden="false" customHeight="true" outlineLevel="0" collapsed="false">
      <c r="A5" s="14" t="s">
        <v>137</v>
      </c>
      <c r="B5" s="50" t="s">
        <v>138</v>
      </c>
      <c r="C5" s="51" t="s">
        <v>139</v>
      </c>
      <c r="D5" s="52" t="s">
        <v>140</v>
      </c>
    </row>
    <row r="6" customFormat="false" ht="18" hidden="false" customHeight="true" outlineLevel="0" collapsed="false">
      <c r="A6" s="53" t="s">
        <v>141</v>
      </c>
      <c r="B6" s="54" t="s">
        <v>142</v>
      </c>
      <c r="C6" s="51" t="s">
        <v>143</v>
      </c>
      <c r="D6" s="52" t="s">
        <v>144</v>
      </c>
    </row>
    <row r="7" customFormat="false" ht="18" hidden="false" customHeight="true" outlineLevel="0" collapsed="false">
      <c r="A7" s="14" t="s">
        <v>145</v>
      </c>
      <c r="B7" s="50" t="s">
        <v>146</v>
      </c>
      <c r="C7" s="51" t="s">
        <v>147</v>
      </c>
      <c r="D7" s="52" t="s">
        <v>148</v>
      </c>
    </row>
    <row r="8" customFormat="false" ht="18" hidden="false" customHeight="true" outlineLevel="0" collapsed="false">
      <c r="A8" s="53" t="s">
        <v>149</v>
      </c>
      <c r="B8" s="54" t="s">
        <v>150</v>
      </c>
      <c r="C8" s="51" t="s">
        <v>151</v>
      </c>
      <c r="D8" s="52" t="s">
        <v>152</v>
      </c>
    </row>
    <row r="9" customFormat="false" ht="18" hidden="false" customHeight="true" outlineLevel="0" collapsed="false">
      <c r="A9" s="14" t="s">
        <v>153</v>
      </c>
      <c r="B9" s="50" t="s">
        <v>154</v>
      </c>
      <c r="C9" s="51" t="s">
        <v>155</v>
      </c>
      <c r="D9" s="52" t="s">
        <v>156</v>
      </c>
    </row>
    <row r="10" customFormat="false" ht="7.5" hidden="false" customHeight="true" outlineLevel="0" collapsed="false">
      <c r="A10" s="3"/>
      <c r="B10" s="3"/>
      <c r="C10" s="3"/>
      <c r="D10" s="3"/>
    </row>
    <row r="11" customFormat="false" ht="18" hidden="false" customHeight="true" outlineLevel="0" collapsed="false">
      <c r="A11" s="13" t="s">
        <v>157</v>
      </c>
      <c r="B11" s="13"/>
      <c r="C11" s="13"/>
      <c r="D11" s="13"/>
    </row>
    <row r="12" customFormat="false" ht="18" hidden="false" customHeight="true" outlineLevel="0" collapsed="false">
      <c r="A12" s="53" t="s">
        <v>158</v>
      </c>
      <c r="B12" s="54" t="s">
        <v>159</v>
      </c>
      <c r="C12" s="51" t="s">
        <v>160</v>
      </c>
      <c r="D12" s="52" t="s">
        <v>161</v>
      </c>
    </row>
    <row r="13" customFormat="false" ht="18" hidden="false" customHeight="true" outlineLevel="0" collapsed="false">
      <c r="A13" s="14" t="s">
        <v>162</v>
      </c>
      <c r="B13" s="50" t="s">
        <v>163</v>
      </c>
      <c r="C13" s="51" t="s">
        <v>164</v>
      </c>
      <c r="D13" s="52" t="s">
        <v>165</v>
      </c>
    </row>
    <row r="14" customFormat="false" ht="18" hidden="false" customHeight="true" outlineLevel="0" collapsed="false">
      <c r="A14" s="53" t="s">
        <v>166</v>
      </c>
      <c r="B14" s="51" t="s">
        <v>167</v>
      </c>
      <c r="C14" s="55" t="s">
        <v>168</v>
      </c>
      <c r="D14" s="52" t="s">
        <v>169</v>
      </c>
    </row>
    <row r="15" customFormat="false" ht="18" hidden="false" customHeight="true" outlineLevel="0" collapsed="false">
      <c r="A15" s="14" t="s">
        <v>170</v>
      </c>
      <c r="B15" s="50" t="s">
        <v>171</v>
      </c>
      <c r="C15" s="55" t="s">
        <v>171</v>
      </c>
      <c r="D15" s="50" t="s">
        <v>172</v>
      </c>
    </row>
    <row r="16" customFormat="false" ht="18" hidden="false" customHeight="true" outlineLevel="0" collapsed="false">
      <c r="A16" s="53" t="s">
        <v>173</v>
      </c>
      <c r="B16" s="54" t="s">
        <v>174</v>
      </c>
      <c r="C16" s="55" t="s">
        <v>175</v>
      </c>
      <c r="D16" s="54" t="s">
        <v>176</v>
      </c>
    </row>
    <row r="17" customFormat="false" ht="7.5" hidden="false" customHeight="true" outlineLevel="0" collapsed="false">
      <c r="A17" s="3"/>
      <c r="B17" s="3"/>
      <c r="C17" s="3"/>
      <c r="D17" s="3"/>
    </row>
    <row r="18" customFormat="false" ht="18" hidden="false" customHeight="true" outlineLevel="0" collapsed="false">
      <c r="A18" s="13" t="s">
        <v>177</v>
      </c>
      <c r="B18" s="13"/>
      <c r="C18" s="13"/>
      <c r="D18" s="13"/>
    </row>
    <row r="19" customFormat="false" ht="18" hidden="false" customHeight="true" outlineLevel="0" collapsed="false">
      <c r="A19" s="14" t="s">
        <v>178</v>
      </c>
      <c r="B19" s="50" t="s">
        <v>179</v>
      </c>
      <c r="C19" s="51" t="s">
        <v>180</v>
      </c>
      <c r="D19" s="52" t="s">
        <v>181</v>
      </c>
    </row>
    <row r="20" customFormat="false" ht="18" hidden="false" customHeight="true" outlineLevel="0" collapsed="false">
      <c r="A20" s="53" t="s">
        <v>182</v>
      </c>
      <c r="B20" s="52" t="s">
        <v>183</v>
      </c>
      <c r="C20" s="55" t="s">
        <v>184</v>
      </c>
      <c r="D20" s="51" t="s">
        <v>185</v>
      </c>
    </row>
    <row r="21" customFormat="false" ht="7.5" hidden="false" customHeight="true" outlineLevel="0" collapsed="false">
      <c r="A21" s="3"/>
      <c r="B21" s="3"/>
      <c r="C21" s="3"/>
      <c r="D21" s="3"/>
    </row>
    <row r="22" customFormat="false" ht="18" hidden="false" customHeight="true" outlineLevel="0" collapsed="false">
      <c r="A22" s="13" t="s">
        <v>186</v>
      </c>
      <c r="B22" s="13"/>
      <c r="C22" s="13"/>
      <c r="D22" s="13"/>
    </row>
    <row r="23" customFormat="false" ht="18" hidden="false" customHeight="true" outlineLevel="0" collapsed="false">
      <c r="A23" s="14" t="s">
        <v>187</v>
      </c>
      <c r="B23" s="50" t="s">
        <v>188</v>
      </c>
      <c r="C23" s="52" t="s">
        <v>189</v>
      </c>
      <c r="D23" s="51" t="s">
        <v>190</v>
      </c>
    </row>
    <row r="24" customFormat="false" ht="18" hidden="false" customHeight="true" outlineLevel="0" collapsed="false">
      <c r="A24" s="53" t="s">
        <v>191</v>
      </c>
      <c r="B24" s="54" t="s">
        <v>192</v>
      </c>
      <c r="C24" s="51" t="s">
        <v>193</v>
      </c>
      <c r="D24" s="52" t="s">
        <v>194</v>
      </c>
    </row>
    <row r="25" customFormat="false" ht="18" hidden="false" customHeight="true" outlineLevel="0" collapsed="false">
      <c r="A25" s="14" t="s">
        <v>195</v>
      </c>
      <c r="B25" s="52" t="s">
        <v>196</v>
      </c>
      <c r="C25" s="55" t="s">
        <v>196</v>
      </c>
      <c r="D25" s="51" t="s">
        <v>197</v>
      </c>
    </row>
    <row r="26" customFormat="false" ht="18" hidden="false" customHeight="true" outlineLevel="0" collapsed="false">
      <c r="A26" s="53" t="s">
        <v>198</v>
      </c>
      <c r="B26" s="51" t="s">
        <v>199</v>
      </c>
      <c r="C26" s="55" t="s">
        <v>200</v>
      </c>
      <c r="D26" s="52" t="s">
        <v>201</v>
      </c>
    </row>
    <row r="27" customFormat="false" ht="18" hidden="false" customHeight="true" outlineLevel="0" collapsed="false">
      <c r="A27" s="14" t="s">
        <v>202</v>
      </c>
      <c r="B27" s="52" t="s">
        <v>203</v>
      </c>
      <c r="C27" s="55" t="s">
        <v>189</v>
      </c>
      <c r="D27" s="51" t="s">
        <v>188</v>
      </c>
    </row>
    <row r="28" customFormat="false" ht="7.5" hidden="false" customHeight="true" outlineLevel="0" collapsed="false">
      <c r="A28" s="3"/>
      <c r="B28" s="3"/>
      <c r="C28" s="3"/>
      <c r="D28" s="3"/>
    </row>
    <row r="29" customFormat="false" ht="18" hidden="false" customHeight="true" outlineLevel="0" collapsed="false">
      <c r="A29" s="56" t="s">
        <v>204</v>
      </c>
      <c r="B29" s="56"/>
      <c r="C29" s="56"/>
      <c r="D29" s="56"/>
    </row>
    <row r="30" customFormat="false" ht="18" hidden="false" customHeight="true" outlineLevel="0" collapsed="false">
      <c r="A30" s="56" t="s">
        <v>205</v>
      </c>
      <c r="B30" s="56"/>
      <c r="C30" s="56"/>
      <c r="D30" s="56"/>
    </row>
    <row r="32" customFormat="false" ht="13.5" hidden="false" customHeight="true" outlineLevel="0" collapsed="false">
      <c r="A32" s="57" t="s">
        <v>206</v>
      </c>
      <c r="B32" s="57"/>
      <c r="C32" s="57"/>
      <c r="D32" s="57"/>
    </row>
    <row r="33" customFormat="false" ht="13.5" hidden="false" customHeight="true" outlineLevel="0" collapsed="false">
      <c r="A33" s="57" t="s">
        <v>207</v>
      </c>
      <c r="B33" s="57"/>
      <c r="C33" s="57"/>
      <c r="D33" s="57"/>
    </row>
  </sheetData>
  <mergeCells count="14">
    <mergeCell ref="A1:D1"/>
    <mergeCell ref="A2:D2"/>
    <mergeCell ref="A4:D4"/>
    <mergeCell ref="A10:D10"/>
    <mergeCell ref="A11:D11"/>
    <mergeCell ref="A17:D17"/>
    <mergeCell ref="A18:D18"/>
    <mergeCell ref="A21:D21"/>
    <mergeCell ref="A22:D22"/>
    <mergeCell ref="A28:D28"/>
    <mergeCell ref="A29:D29"/>
    <mergeCell ref="A30:D30"/>
    <mergeCell ref="A32:D32"/>
    <mergeCell ref="A33:D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5"/>
    <col collapsed="false" customWidth="true" hidden="false" outlineLevel="0" max="3" min="3" style="0" width="55"/>
    <col collapsed="false" customWidth="true" hidden="false" outlineLevel="0" max="4" min="4" style="0" width="22"/>
  </cols>
  <sheetData>
    <row r="1" customFormat="false" ht="24" hidden="false" customHeight="true" outlineLevel="0" collapsed="false">
      <c r="A1" s="43" t="s">
        <v>208</v>
      </c>
      <c r="B1" s="43"/>
      <c r="C1" s="43"/>
      <c r="D1" s="43"/>
    </row>
    <row r="2" customFormat="false" ht="19.5" hidden="false" customHeight="true" outlineLevel="0" collapsed="false">
      <c r="A2" s="45" t="s">
        <v>209</v>
      </c>
      <c r="B2" s="45" t="s">
        <v>210</v>
      </c>
      <c r="C2" s="45" t="s">
        <v>211</v>
      </c>
      <c r="D2" s="45" t="s">
        <v>212</v>
      </c>
    </row>
    <row r="3" customFormat="false" ht="39.75" hidden="false" customHeight="true" outlineLevel="0" collapsed="false">
      <c r="A3" s="58" t="s">
        <v>213</v>
      </c>
      <c r="B3" s="59" t="s">
        <v>214</v>
      </c>
      <c r="C3" s="59" t="s">
        <v>215</v>
      </c>
      <c r="D3" s="60" t="s">
        <v>216</v>
      </c>
    </row>
    <row r="4" customFormat="false" ht="39.75" hidden="false" customHeight="true" outlineLevel="0" collapsed="false">
      <c r="A4" s="61" t="s">
        <v>217</v>
      </c>
      <c r="B4" s="62" t="s">
        <v>218</v>
      </c>
      <c r="C4" s="62" t="s">
        <v>219</v>
      </c>
      <c r="D4" s="63" t="s">
        <v>220</v>
      </c>
    </row>
    <row r="5" customFormat="false" ht="39.75" hidden="false" customHeight="true" outlineLevel="0" collapsed="false">
      <c r="A5" s="58" t="s">
        <v>221</v>
      </c>
      <c r="B5" s="59" t="s">
        <v>222</v>
      </c>
      <c r="C5" s="59" t="s">
        <v>223</v>
      </c>
      <c r="D5" s="63" t="s">
        <v>220</v>
      </c>
    </row>
    <row r="6" customFormat="false" ht="39.75" hidden="false" customHeight="true" outlineLevel="0" collapsed="false">
      <c r="A6" s="61" t="s">
        <v>224</v>
      </c>
      <c r="B6" s="62" t="s">
        <v>225</v>
      </c>
      <c r="C6" s="62" t="s">
        <v>226</v>
      </c>
      <c r="D6" s="63" t="s">
        <v>220</v>
      </c>
    </row>
    <row r="7" customFormat="false" ht="39.75" hidden="false" customHeight="true" outlineLevel="0" collapsed="false">
      <c r="A7" s="58" t="s">
        <v>227</v>
      </c>
      <c r="B7" s="59" t="s">
        <v>228</v>
      </c>
      <c r="C7" s="59" t="s">
        <v>229</v>
      </c>
      <c r="D7" s="63" t="s">
        <v>220</v>
      </c>
    </row>
    <row r="8" customFormat="false" ht="39.75" hidden="false" customHeight="true" outlineLevel="0" collapsed="false">
      <c r="A8" s="61" t="s">
        <v>230</v>
      </c>
      <c r="B8" s="62" t="s">
        <v>231</v>
      </c>
      <c r="C8" s="62" t="s">
        <v>232</v>
      </c>
      <c r="D8" s="60" t="s">
        <v>233</v>
      </c>
    </row>
    <row r="9" customFormat="false" ht="39.75" hidden="false" customHeight="true" outlineLevel="0" collapsed="false">
      <c r="A9" s="58" t="s">
        <v>234</v>
      </c>
      <c r="B9" s="59" t="s">
        <v>235</v>
      </c>
      <c r="C9" s="59" t="s">
        <v>236</v>
      </c>
      <c r="D9" s="60" t="s">
        <v>233</v>
      </c>
    </row>
    <row r="10" customFormat="false" ht="39.75" hidden="false" customHeight="true" outlineLevel="0" collapsed="false">
      <c r="A10" s="61" t="s">
        <v>237</v>
      </c>
      <c r="B10" s="62" t="s">
        <v>238</v>
      </c>
      <c r="C10" s="62" t="s">
        <v>239</v>
      </c>
      <c r="D10" s="63" t="s">
        <v>240</v>
      </c>
    </row>
    <row r="11" customFormat="false" ht="39.75" hidden="false" customHeight="true" outlineLevel="0" collapsed="false">
      <c r="A11" s="58" t="s">
        <v>241</v>
      </c>
      <c r="B11" s="59" t="s">
        <v>242</v>
      </c>
      <c r="C11" s="59" t="s">
        <v>243</v>
      </c>
      <c r="D11" s="63" t="s">
        <v>240</v>
      </c>
    </row>
    <row r="12" customFormat="false" ht="39.75" hidden="false" customHeight="true" outlineLevel="0" collapsed="false">
      <c r="A12" s="61" t="s">
        <v>244</v>
      </c>
      <c r="B12" s="62" t="s">
        <v>245</v>
      </c>
      <c r="C12" s="62" t="s">
        <v>246</v>
      </c>
      <c r="D12" s="63" t="s">
        <v>240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2026-05-31T18:36:52Z</dcterms:created>
  <dc:creator>openpyxl</dc:creator>
  <dc:description/>
  <dc:language>en-US</dc:language>
  <cp:lastModifiedBy/>
  <dcterms:modified xsi:type="dcterms:W3CDTF">2026-05-31T18:36:52Z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